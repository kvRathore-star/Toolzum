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corecard" sheetId="1" state="visible" r:id="rId1"/>
    <sheet name="Summary by Type" sheetId="2" state="visible" r:id="rId2"/>
    <sheet name="How to Use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2937"/>
      <sz val="16"/>
    </font>
    <font>
      <name val="Arial"/>
      <charset val="1"/>
      <family val="0"/>
      <i val="1"/>
      <color rgb="FF6B728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2937"/>
      <sz val="12"/>
    </font>
  </fonts>
  <fills count="14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9E8FF"/>
        <bgColor rgb="FFE8D9FF"/>
      </patternFill>
    </fill>
    <fill>
      <patternFill patternType="solid">
        <fgColor rgb="FFFFFDE7"/>
        <bgColor rgb="FFFFFFFF"/>
      </patternFill>
    </fill>
    <fill>
      <patternFill patternType="solid">
        <fgColor rgb="FFE8D9FF"/>
        <bgColor rgb="FFF0D9FF"/>
      </patternFill>
    </fill>
    <fill>
      <patternFill patternType="solid">
        <fgColor rgb="FFD9FFE0"/>
        <bgColor rgb="FFE0FFD9"/>
      </patternFill>
    </fill>
    <fill>
      <patternFill patternType="solid">
        <fgColor rgb="FFFFF2CC"/>
        <bgColor rgb="FFFFF9C4"/>
      </patternFill>
    </fill>
    <fill>
      <patternFill patternType="solid">
        <fgColor rgb="FFFFE0CC"/>
        <bgColor rgb="FFFFD9D9"/>
      </patternFill>
    </fill>
    <fill>
      <patternFill patternType="solid">
        <fgColor rgb="FFFFD9D9"/>
        <bgColor rgb="FFFFE0CC"/>
      </patternFill>
    </fill>
    <fill>
      <patternFill patternType="solid">
        <fgColor rgb="FFD9FFF5"/>
        <bgColor rgb="FFD9FFE0"/>
      </patternFill>
    </fill>
    <fill>
      <patternFill patternType="solid">
        <fgColor rgb="FFF0D9FF"/>
        <bgColor rgb="FFE8D9FF"/>
      </patternFill>
    </fill>
    <fill>
      <patternFill patternType="solid">
        <fgColor rgb="FFE0FFD9"/>
        <bgColor rgb="FFD9FFE0"/>
      </patternFill>
    </fill>
    <fill>
      <patternFill patternType="solid">
        <fgColor rgb="FFFFF9C4"/>
        <bgColor rgb="FFFFF2C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10" fillId="1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7" fillId="7" borderId="1" applyAlignment="1" pivotButton="0" quotePrefix="0" xfId="0">
      <alignment horizontal="general" vertical="bottom"/>
    </xf>
    <xf numFmtId="0" fontId="7" fillId="8" borderId="1" applyAlignment="1" pivotButton="0" quotePrefix="0" xfId="0">
      <alignment horizontal="general" vertical="bottom"/>
    </xf>
    <xf numFmtId="0" fontId="7" fillId="9" borderId="1" applyAlignment="1" pivotButton="0" quotePrefix="0" xfId="0">
      <alignment horizontal="general" vertical="bottom"/>
    </xf>
    <xf numFmtId="0" fontId="7" fillId="10" borderId="1" applyAlignment="1" pivotButton="0" quotePrefix="0" xfId="0">
      <alignment horizontal="general" vertical="bottom"/>
    </xf>
    <xf numFmtId="0" fontId="7" fillId="11" borderId="1" applyAlignment="1" pivotButton="0" quotePrefix="0" xfId="0">
      <alignment horizontal="general" vertical="bottom"/>
    </xf>
    <xf numFmtId="0" fontId="7" fillId="1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10" fillId="1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7" fillId="7" borderId="1" applyAlignment="1" pivotButton="0" quotePrefix="0" xfId="0">
      <alignment horizontal="general" vertical="bottom"/>
    </xf>
    <xf numFmtId="0" fontId="7" fillId="8" borderId="1" applyAlignment="1" pivotButton="0" quotePrefix="0" xfId="0">
      <alignment horizontal="general" vertical="bottom"/>
    </xf>
    <xf numFmtId="0" fontId="7" fillId="9" borderId="1" applyAlignment="1" pivotButton="0" quotePrefix="0" xfId="0">
      <alignment horizontal="general" vertical="bottom"/>
    </xf>
    <xf numFmtId="0" fontId="7" fillId="10" borderId="1" applyAlignment="1" pivotButton="0" quotePrefix="0" xfId="0">
      <alignment horizontal="general" vertical="bottom"/>
    </xf>
    <xf numFmtId="0" fontId="7" fillId="11" borderId="1" applyAlignment="1" pivotButton="0" quotePrefix="0" xfId="0">
      <alignment horizontal="general" vertical="bottom"/>
    </xf>
    <xf numFmtId="0" fontId="7" fillId="1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8D9FF"/>
      <rgbColor rgb="FF808080"/>
      <rgbColor rgb="FF9999FF"/>
      <rgbColor rgb="FF993366"/>
      <rgbColor rgb="FFFFF9C4"/>
      <rgbColor rgb="FFD9FFF5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FFD9"/>
      <rgbColor rgb="FFD9FFE0"/>
      <rgbColor rgb="FFFFF2CC"/>
      <rgbColor rgb="FFD9E8FF"/>
      <rgbColor rgb="FFFFD9D9"/>
      <rgbColor rgb="FFF0D9FF"/>
      <rgbColor rgb="FFFFE0CC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5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4" min="1" max="1"/>
    <col width="34" customWidth="1" style="34" min="2" max="2"/>
    <col width="46" customWidth="1" style="34" min="3" max="3"/>
    <col width="16" customWidth="1" style="34" min="4" max="4"/>
    <col width="11" customWidth="1" style="34" min="5" max="5"/>
    <col width="9" customWidth="1" style="34" min="6" max="6"/>
    <col width="12" customWidth="1" style="34" min="7" max="7"/>
    <col width="14" customWidth="1" style="34" min="8" max="8"/>
    <col width="26" customWidth="1" style="34" min="9" max="9"/>
  </cols>
  <sheetData>
    <row r="1" ht="19.7" customHeight="1" s="35">
      <c r="A1" s="36" t="inlineStr">
        <is>
          <t>Production App Scorecard — 51 Evaluation Categories</t>
        </is>
      </c>
    </row>
    <row r="2" ht="15" customHeight="1" s="35">
      <c r="A2" s="37" t="inlineStr">
        <is>
          <t>Enter a Score (0-100) in column G for each category. Weighted totals calculate automatically. Blue cells = your inputs.</t>
        </is>
      </c>
    </row>
    <row r="4" ht="21.75" customHeight="1" s="35">
      <c r="A4" s="38" t="inlineStr">
        <is>
          <t>#</t>
        </is>
      </c>
      <c r="B4" s="38" t="inlineStr">
        <is>
          <t>Category</t>
        </is>
      </c>
      <c r="C4" s="38" t="inlineStr">
        <is>
          <t>What It Measures</t>
        </is>
      </c>
      <c r="D4" s="38" t="inlineStr">
        <is>
          <t>Type</t>
        </is>
      </c>
      <c r="E4" s="38" t="inlineStr">
        <is>
          <t>Cadence</t>
        </is>
      </c>
      <c r="F4" s="38" t="inlineStr">
        <is>
          <t>Weight</t>
        </is>
      </c>
      <c r="G4" s="38" t="inlineStr">
        <is>
          <t>Score (0-100)</t>
        </is>
      </c>
      <c r="H4" s="38" t="inlineStr">
        <is>
          <t>Weighted Score</t>
        </is>
      </c>
      <c r="I4" s="38" t="inlineStr">
        <is>
          <t>Notes / Last Change</t>
        </is>
      </c>
    </row>
    <row r="5" ht="30" customHeight="1" s="35">
      <c r="A5" s="39" t="n">
        <v>1</v>
      </c>
      <c r="B5" s="40" t="inlineStr">
        <is>
          <t>Tool breadth</t>
        </is>
      </c>
      <c r="C5" s="40" t="inlineStr">
        <is>
          <t>Total tools listed, category coverage, catalog scale</t>
        </is>
      </c>
      <c r="D5" s="41" t="inlineStr">
        <is>
          <t>Product-specific</t>
        </is>
      </c>
      <c r="E5" s="39" t="inlineStr">
        <is>
          <t>Core</t>
        </is>
      </c>
      <c r="F5" s="42" t="n">
        <v>3</v>
      </c>
      <c r="G5" s="43" t="n">
        <v>95</v>
      </c>
      <c r="H5" s="39">
        <f>IF(G5="","",G5*F5)</f>
        <v/>
      </c>
      <c r="I5" s="40" t="inlineStr">
        <is>
          <t>Sep 12 2026: 1,145 tools, 21 cats; minus one dead stub removed Sep 12</t>
        </is>
      </c>
    </row>
    <row r="6" ht="30" customHeight="1" s="35">
      <c r="A6" s="39" t="n">
        <v>2</v>
      </c>
      <c r="B6" s="40" t="inlineStr">
        <is>
          <t>Depth</t>
        </is>
      </c>
      <c r="C6" s="40" t="inlineStr">
        <is>
          <t>Richness of per-tool data (pricing, features, reviews, use-cases)</t>
        </is>
      </c>
      <c r="D6" s="41" t="inlineStr">
        <is>
          <t>Product-specific</t>
        </is>
      </c>
      <c r="E6" s="39" t="inlineStr">
        <is>
          <t>Core</t>
        </is>
      </c>
      <c r="F6" s="42" t="n">
        <v>3</v>
      </c>
      <c r="G6" s="43" t="n">
        <v>76</v>
      </c>
      <c r="H6" s="39">
        <f>IF(G6="","",G6*F6)</f>
        <v/>
      </c>
      <c r="I6" s="40" t="inlineStr">
        <is>
          <t>Sep 15 2026: 49 tools deepened w/ worked-example FAQs + 21 hub intros rewritten; 288/1144 w/ 4+ FAQs; tail 847 zero-custom via fallback (bulk path pending)</t>
        </is>
      </c>
    </row>
    <row r="7" ht="30" customHeight="1" s="35">
      <c r="A7" s="39" t="n">
        <v>3</v>
      </c>
      <c r="B7" s="40" t="inlineStr">
        <is>
          <t>Data freshness/accuracy</t>
        </is>
      </c>
      <c r="C7" s="40" t="inlineStr">
        <is>
          <t>How current/correct tool listings are; deprecation handling</t>
        </is>
      </c>
      <c r="D7" s="41" t="inlineStr">
        <is>
          <t>Product-specific</t>
        </is>
      </c>
      <c r="E7" s="39" t="inlineStr">
        <is>
          <t>Core</t>
        </is>
      </c>
      <c r="F7" s="42" t="n">
        <v>3</v>
      </c>
      <c r="G7" s="43" t="n">
        <v>82</v>
      </c>
      <c r="H7" s="39">
        <f>IF(G7="","",G7*F7)</f>
        <v/>
      </c>
      <c r="I7" s="40" t="inlineStr">
        <is>
          <t>Sep 12 2026: Redirect net + stub removal; sitemap/OG generated</t>
        </is>
      </c>
    </row>
    <row r="8" ht="30" customHeight="1" s="35">
      <c r="A8" s="39" t="n">
        <v>4</v>
      </c>
      <c r="B8" s="40" t="inlineStr">
        <is>
          <t>Search/discovery quality</t>
        </is>
      </c>
      <c r="C8" s="40" t="inlineStr">
        <is>
          <t>Filtering, search relevance, recommendation logic</t>
        </is>
      </c>
      <c r="D8" s="41" t="inlineStr">
        <is>
          <t>Product-specific</t>
        </is>
      </c>
      <c r="E8" s="39" t="inlineStr">
        <is>
          <t>Core</t>
        </is>
      </c>
      <c r="F8" s="42" t="n">
        <v>3</v>
      </c>
      <c r="G8" s="43" t="n">
        <v>93</v>
      </c>
      <c r="H8" s="39">
        <f>IF(G8="","",G8*F8)</f>
        <v/>
      </c>
      <c r="I8" s="40" t="inlineStr">
        <is>
          <t>Sep 12 2026: fuse typo-tolerant Cmd+K + token-AND ranking + 30 seeded synonyms + missed-query log + admin panel. Verified live queries.</t>
        </is>
      </c>
    </row>
    <row r="9" ht="30" customHeight="1" s="35">
      <c r="A9" s="39" t="n">
        <v>5</v>
      </c>
      <c r="B9" s="40" t="inlineStr">
        <is>
          <t>Comparison/decision support</t>
        </is>
      </c>
      <c r="C9" s="40" t="inlineStr">
        <is>
          <t>Side-by-side comparisons, decision aids</t>
        </is>
      </c>
      <c r="D9" s="41" t="inlineStr">
        <is>
          <t>Product-specific</t>
        </is>
      </c>
      <c r="E9" s="39" t="inlineStr">
        <is>
          <t>Milestone</t>
        </is>
      </c>
      <c r="F9" s="42" t="n">
        <v>2</v>
      </c>
      <c r="G9" s="43" t="n">
        <v>78</v>
      </c>
      <c r="H9" s="39">
        <f>IF(G9="","",G9*F9)</f>
        <v/>
      </c>
      <c r="I9" s="40" t="inlineStr">
        <is>
          <t>Sep 12 2026: Pricing compare tables on /pricing + premium page</t>
        </is>
      </c>
    </row>
    <row r="10" ht="30" customHeight="1" s="35">
      <c r="A10" s="39" t="n">
        <v>6</v>
      </c>
      <c r="B10" s="40" t="inlineStr">
        <is>
          <t>UX</t>
        </is>
      </c>
      <c r="C10" s="40" t="inlineStr">
        <is>
          <t>User flows, task completion ease, friction points</t>
        </is>
      </c>
      <c r="D10" s="44" t="inlineStr">
        <is>
          <t>Design</t>
        </is>
      </c>
      <c r="E10" s="39" t="inlineStr">
        <is>
          <t>Core</t>
        </is>
      </c>
      <c r="F10" s="42" t="n">
        <v>2</v>
      </c>
      <c r="G10" s="43" t="n">
        <v>78</v>
      </c>
      <c r="H10" s="39">
        <f>IF(G10="","",G10*F10)</f>
        <v/>
      </c>
      <c r="I10" s="40" t="inlineStr">
        <is>
          <t>Sep 12 2026: Good flows; 6-7 first-touch bugs found+fixed Sep 12</t>
        </is>
      </c>
    </row>
    <row r="11" ht="30" customHeight="1" s="35">
      <c r="A11" s="39" t="n">
        <v>7</v>
      </c>
      <c r="B11" s="40" t="inlineStr">
        <is>
          <t>UI</t>
        </is>
      </c>
      <c r="C11" s="40" t="inlineStr">
        <is>
          <t>Visual interface quality, component consistency</t>
        </is>
      </c>
      <c r="D11" s="44" t="inlineStr">
        <is>
          <t>Design</t>
        </is>
      </c>
      <c r="E11" s="39" t="inlineStr">
        <is>
          <t>Core</t>
        </is>
      </c>
      <c r="F11" s="42" t="n">
        <v>2</v>
      </c>
      <c r="G11" s="43" t="n">
        <v>80</v>
      </c>
      <c r="H11" s="39">
        <f>IF(G11="","",G11*F11)</f>
        <v/>
      </c>
      <c r="I11" s="40" t="inlineStr">
        <is>
          <t>Sep 12 2026: Shared shells/CSS vars; lock-card fit issue fixed, needs eyes</t>
        </is>
      </c>
    </row>
    <row r="12" ht="30" customHeight="1" s="35">
      <c r="A12" s="39" t="n">
        <v>8</v>
      </c>
      <c r="B12" s="40" t="inlineStr">
        <is>
          <t>Design</t>
        </is>
      </c>
      <c r="C12" s="40" t="inlineStr">
        <is>
          <t>Overall visual identity, branding, polish</t>
        </is>
      </c>
      <c r="D12" s="44" t="inlineStr">
        <is>
          <t>Design</t>
        </is>
      </c>
      <c r="E12" s="39" t="inlineStr">
        <is>
          <t>Milestone</t>
        </is>
      </c>
      <c r="F12" s="42" t="n">
        <v>1</v>
      </c>
      <c r="G12" s="43" t="n">
        <v>78</v>
      </c>
      <c r="H12" s="39">
        <f>IF(G12="","",G12*F12)</f>
        <v/>
      </c>
      <c r="I12" s="40" t="inlineStr">
        <is>
          <t>Sep 12 2026: Solid premium look; Session 4 naming still pending</t>
        </is>
      </c>
    </row>
    <row r="13" ht="30" customHeight="1" s="35">
      <c r="A13" s="39" t="n">
        <v>9</v>
      </c>
      <c r="B13" s="40" t="inlineStr">
        <is>
          <t>Accessibility</t>
        </is>
      </c>
      <c r="C13" s="40" t="inlineStr">
        <is>
          <t>WCAG compliance, screen reader support, keyboard nav</t>
        </is>
      </c>
      <c r="D13" s="44" t="inlineStr">
        <is>
          <t>Design</t>
        </is>
      </c>
      <c r="E13" s="39" t="inlineStr">
        <is>
          <t>Milestone</t>
        </is>
      </c>
      <c r="F13" s="42" t="n">
        <v>2</v>
      </c>
      <c r="G13" s="43" t="n">
        <v>95</v>
      </c>
      <c r="H13" s="39">
        <f>IF(G13="","",G13*F13)</f>
        <v/>
      </c>
      <c r="I13" s="40" t="inlineStr">
        <is>
          <t>Sep 14 2026: 95 — all 9 tab sets complete (shared useRovingTabs hook, panels paired); worst-offender sweep (Copy/Download object-named, single letters expanded, duplicates qualified); unnamed/vague/generic scans all 0; tsc clean; targeted tests 13/13. Residual to 97+: human Session-4 dense-page pass, full-suite CI green on push (1208/1208); DEPLOYED to production (Pages build 8f7e1de8, commit 256ce85d). Residual to 97+: human Session-4 dense-page pass only.</t>
        </is>
      </c>
    </row>
    <row r="14" ht="30" customHeight="1" s="35">
      <c r="A14" s="39" t="n">
        <v>10</v>
      </c>
      <c r="B14" s="40" t="inlineStr">
        <is>
          <t>Mobile/Desktop/Tablet/PWA &amp; Device Responsiveness</t>
        </is>
      </c>
      <c r="C14" s="40" t="inlineStr">
        <is>
          <t>Cross-device layout adaptation, PWA install/offline support</t>
        </is>
      </c>
      <c r="D14" s="44" t="inlineStr">
        <is>
          <t>Design</t>
        </is>
      </c>
      <c r="E14" s="39" t="inlineStr">
        <is>
          <t>Core</t>
        </is>
      </c>
      <c r="F14" s="42" t="n">
        <v>2</v>
      </c>
      <c r="G14" s="43" t="n">
        <v>78</v>
      </c>
      <c r="H14" s="39">
        <f>IF(G14="","",G14*F14)</f>
        <v/>
      </c>
      <c r="I14" s="40" t="inlineStr">
        <is>
          <t>Sep 12 2026: Responsive + Capacitor; PWA manifest fixed Sep 12</t>
        </is>
      </c>
    </row>
    <row r="15" ht="30" customHeight="1" s="35">
      <c r="A15" s="39" t="n">
        <v>11</v>
      </c>
      <c r="B15" s="40" t="inlineStr">
        <is>
          <t>SEO foundation</t>
        </is>
      </c>
      <c r="C15" s="40" t="inlineStr">
        <is>
          <t>Meta tags, sitemap, crawlability, page speed for indexing</t>
        </is>
      </c>
      <c r="D15" s="45" t="inlineStr">
        <is>
          <t>Growth</t>
        </is>
      </c>
      <c r="E15" s="39" t="inlineStr">
        <is>
          <t>Core</t>
        </is>
      </c>
      <c r="F15" s="42" t="n">
        <v>2</v>
      </c>
      <c r="G15" s="43" t="n">
        <v>85</v>
      </c>
      <c r="H15" s="39">
        <f>IF(G15="","",G15*F15)</f>
        <v/>
      </c>
      <c r="I15" s="40" t="inlineStr">
        <is>
          <t>Sep 12 2026: Sitemap/OG/meta/redirects all generated + tested</t>
        </is>
      </c>
    </row>
    <row r="16" ht="30" customHeight="1" s="35">
      <c r="A16" s="39" t="n">
        <v>12</v>
      </c>
      <c r="B16" s="40" t="inlineStr">
        <is>
          <t>Code quality</t>
        </is>
      </c>
      <c r="C16" s="40" t="inlineStr">
        <is>
          <t>Readability, standards adherence, linting, code smells</t>
        </is>
      </c>
      <c r="D16" s="46" t="inlineStr">
        <is>
          <t>Engineering</t>
        </is>
      </c>
      <c r="E16" s="39" t="inlineStr">
        <is>
          <t>Core</t>
        </is>
      </c>
      <c r="F16" s="42" t="n">
        <v>2</v>
      </c>
      <c r="G16" s="43" t="n">
        <v>78</v>
      </c>
      <c r="H16" s="39">
        <f>IF(G16="","",G16*F16)</f>
        <v/>
      </c>
      <c r="I16" s="40" t="inlineStr">
        <is>
          <t>Sep 12 2026: Lint 0 errors; 2386 warnings; strong conventions</t>
        </is>
      </c>
    </row>
    <row r="17" ht="30" customHeight="1" s="35">
      <c r="A17" s="39" t="n">
        <v>13</v>
      </c>
      <c r="B17" s="40" t="inlineStr">
        <is>
          <t>Architecture</t>
        </is>
      </c>
      <c r="C17" s="40" t="inlineStr">
        <is>
          <t>System design, modularity, scalability of structure</t>
        </is>
      </c>
      <c r="D17" s="46" t="inlineStr">
        <is>
          <t>Engineering</t>
        </is>
      </c>
      <c r="E17" s="39" t="inlineStr">
        <is>
          <t>Milestone</t>
        </is>
      </c>
      <c r="F17" s="42" t="n">
        <v>2</v>
      </c>
      <c r="G17" s="43" t="n">
        <v>85</v>
      </c>
      <c r="H17" s="39">
        <f>IF(G17="","",G17*F17)</f>
        <v/>
      </c>
      <c r="I17" s="40" t="inlineStr">
        <is>
          <t>Sep 12 2026: Registry/shell/functions modular; planTiers single source</t>
        </is>
      </c>
    </row>
    <row r="18" ht="30" customHeight="1" s="35">
      <c r="A18" s="39" t="n">
        <v>14</v>
      </c>
      <c r="B18" s="40" t="inlineStr">
        <is>
          <t>Testing</t>
        </is>
      </c>
      <c r="C18" s="40" t="inlineStr">
        <is>
          <t>Unit/integration/e2e test coverage and reliability</t>
        </is>
      </c>
      <c r="D18" s="46" t="inlineStr">
        <is>
          <t>Engineering</t>
        </is>
      </c>
      <c r="E18" s="39" t="inlineStr">
        <is>
          <t>Core</t>
        </is>
      </c>
      <c r="F18" s="42" t="n">
        <v>2</v>
      </c>
      <c r="G18" s="43" t="n">
        <v>88</v>
      </c>
      <c r="H18" s="39">
        <f>IF(G18="","",G18*F18)</f>
        <v/>
      </c>
      <c r="I18" s="40" t="inlineStr">
        <is>
          <t>Sep 15 2026: 212 test files, 4 Playwright E2E (critical/auth/responsive/a11y) + axe gate; 1208/1208 green Sep 14</t>
        </is>
      </c>
    </row>
    <row r="19" ht="30" customHeight="1" s="35">
      <c r="A19" s="39" t="n">
        <v>15</v>
      </c>
      <c r="B19" s="40" t="inlineStr">
        <is>
          <t>Performance/build</t>
        </is>
      </c>
      <c r="C19" s="40" t="inlineStr">
        <is>
          <t>Load times, bundle size, build optimization</t>
        </is>
      </c>
      <c r="D19" s="46" t="inlineStr">
        <is>
          <t>Engineering</t>
        </is>
      </c>
      <c r="E19" s="39" t="inlineStr">
        <is>
          <t>Core</t>
        </is>
      </c>
      <c r="F19" s="42" t="n">
        <v>2</v>
      </c>
      <c r="G19" s="43" t="n">
        <v>72</v>
      </c>
      <c r="H19" s="39">
        <f>IF(G19="","",G19*F19)</f>
        <v/>
      </c>
      <c r="I19" s="40" t="inlineStr">
        <is>
          <t>Sep 12 2026: 15-min builds hurt; bundles cut 30-35%; OG decoupled</t>
        </is>
      </c>
    </row>
    <row r="20" ht="30" customHeight="1" s="35">
      <c r="A20" s="39" t="n">
        <v>16</v>
      </c>
      <c r="B20" s="40" t="inlineStr">
        <is>
          <t>Maintainability</t>
        </is>
      </c>
      <c r="C20" s="40" t="inlineStr">
        <is>
          <t>Ease of extending/modifying codebase over time</t>
        </is>
      </c>
      <c r="D20" s="46" t="inlineStr">
        <is>
          <t>Engineering</t>
        </is>
      </c>
      <c r="E20" s="39" t="inlineStr">
        <is>
          <t>Milestone</t>
        </is>
      </c>
      <c r="F20" s="42" t="n">
        <v>1</v>
      </c>
      <c r="G20" s="43" t="n">
        <v>82</v>
      </c>
      <c r="H20" s="39">
        <f>IF(G20="","",G20*F20)</f>
        <v/>
      </c>
      <c r="I20" s="40" t="inlineStr">
        <is>
          <t>Sep 12 2026: Registry-driven; generated files with parity tests</t>
        </is>
      </c>
    </row>
    <row r="21" ht="30" customHeight="1" s="35">
      <c r="A21" s="39" t="n">
        <v>17</v>
      </c>
      <c r="B21" s="40" t="inlineStr">
        <is>
          <t>Documentation</t>
        </is>
      </c>
      <c r="C21" s="40" t="inlineStr">
        <is>
          <t>Code comments, README, API docs, onboarding docs</t>
        </is>
      </c>
      <c r="D21" s="46" t="inlineStr">
        <is>
          <t>Engineering</t>
        </is>
      </c>
      <c r="E21" s="39" t="inlineStr">
        <is>
          <t>Milestone</t>
        </is>
      </c>
      <c r="F21" s="42" t="n">
        <v>1</v>
      </c>
      <c r="G21" s="43" t="n">
        <v>75</v>
      </c>
      <c r="H21" s="39">
        <f>IF(G21="","",G21*F21)</f>
        <v/>
      </c>
      <c r="I21" s="40" t="inlineStr">
        <is>
          <t>Sep 12 2026: AGENTS/LIMITS/gotchas strong; API docs thin</t>
        </is>
      </c>
    </row>
    <row r="22" ht="30" customHeight="1" s="35">
      <c r="A22" s="39" t="n">
        <v>18</v>
      </c>
      <c r="B22" s="40" t="inlineStr">
        <is>
          <t>Error handling</t>
        </is>
      </c>
      <c r="C22" s="40" t="inlineStr">
        <is>
          <t>Graceful failure, user-facing error states, fallback UX</t>
        </is>
      </c>
      <c r="D22" s="46" t="inlineStr">
        <is>
          <t>Engineering</t>
        </is>
      </c>
      <c r="E22" s="39" t="inlineStr">
        <is>
          <t>Core</t>
        </is>
      </c>
      <c r="F22" s="42" t="n">
        <v>2</v>
      </c>
      <c r="G22" s="43" t="n">
        <v>82</v>
      </c>
      <c r="H22" s="39">
        <f>IF(G22="","",G22*F22)</f>
        <v/>
      </c>
      <c r="I22" s="40" t="inlineStr">
        <is>
          <t>Sep 12 2026: Honest errors + fallbacks everywhere; error_log table</t>
        </is>
      </c>
    </row>
    <row r="23" ht="30" customHeight="1" s="35">
      <c r="A23" s="39" t="n">
        <v>19</v>
      </c>
      <c r="B23" s="40" t="inlineStr">
        <is>
          <t>Deployment/CI-CD</t>
        </is>
      </c>
      <c r="C23" s="40" t="inlineStr">
        <is>
          <t>Automated build/test/deploy pipelines</t>
        </is>
      </c>
      <c r="D23" s="47" t="inlineStr">
        <is>
          <t>Ops</t>
        </is>
      </c>
      <c r="E23" s="39" t="inlineStr">
        <is>
          <t>Core</t>
        </is>
      </c>
      <c r="F23" s="42" t="n">
        <v>2</v>
      </c>
      <c r="G23" s="43" t="n">
        <v>88</v>
      </c>
      <c r="H23" s="39">
        <f>IF(G23="","",G23*F23)</f>
        <v/>
      </c>
      <c r="I23" s="40" t="inlineStr">
        <is>
          <t>Sep 12 2026: Pages auto-deploy; CI lint-typecheck-test-build; hooks</t>
        </is>
      </c>
    </row>
    <row r="24" ht="30" customHeight="1" s="35">
      <c r="A24" s="39" t="n">
        <v>20</v>
      </c>
      <c r="B24" s="40" t="inlineStr">
        <is>
          <t>Release/versioning strategy</t>
        </is>
      </c>
      <c r="C24" s="40" t="inlineStr">
        <is>
          <t>Semantic versioning, changelogs, rollback capability</t>
        </is>
      </c>
      <c r="D24" s="47" t="inlineStr">
        <is>
          <t>Ops</t>
        </is>
      </c>
      <c r="E24" s="39" t="inlineStr">
        <is>
          <t>Milestone</t>
        </is>
      </c>
      <c r="F24" s="42" t="n">
        <v>1</v>
      </c>
      <c r="G24" s="43" t="n">
        <v>65</v>
      </c>
      <c r="H24" s="39">
        <f>IF(G24="","",G24*F24)</f>
        <v/>
      </c>
      <c r="I24" s="40" t="inlineStr">
        <is>
          <t>Sep 12 2026: Changelog exists; no semver; rollback = slow rebuild</t>
        </is>
      </c>
    </row>
    <row r="25" ht="30" customHeight="1" s="35">
      <c r="A25" s="39" t="n">
        <v>21</v>
      </c>
      <c r="B25" s="40" t="inlineStr">
        <is>
          <t>Observability/Monitoring</t>
        </is>
      </c>
      <c r="C25" s="40" t="inlineStr">
        <is>
          <t>Logging, error tracking, uptime/analytics monitoring</t>
        </is>
      </c>
      <c r="D25" s="47" t="inlineStr">
        <is>
          <t>Ops</t>
        </is>
      </c>
      <c r="E25" s="39" t="inlineStr">
        <is>
          <t>Core</t>
        </is>
      </c>
      <c r="F25" s="42" t="n">
        <v>2</v>
      </c>
      <c r="G25" s="43" t="n">
        <v>80</v>
      </c>
      <c r="H25" s="39">
        <f>IF(G25="","",G25*F25)</f>
        <v/>
      </c>
      <c r="I25" s="40" t="inlineStr">
        <is>
          <t>Sep 12 2026: error/download/ai-credit events; admin analytics repaired Sep 12</t>
        </is>
      </c>
    </row>
    <row r="26" ht="30" customHeight="1" s="35">
      <c r="A26" s="39" t="n">
        <v>22</v>
      </c>
      <c r="B26" s="40" t="inlineStr">
        <is>
          <t>Dependency management</t>
        </is>
      </c>
      <c r="C26" s="40" t="inlineStr">
        <is>
          <t>Package audits, update cadence, supply-chain risk</t>
        </is>
      </c>
      <c r="D26" s="47" t="inlineStr">
        <is>
          <t>Ops</t>
        </is>
      </c>
      <c r="E26" s="39" t="inlineStr">
        <is>
          <t>Milestone</t>
        </is>
      </c>
      <c r="F26" s="42" t="n">
        <v>1</v>
      </c>
      <c r="G26" s="43" t="n">
        <v>75</v>
      </c>
      <c r="H26" s="39">
        <f>IF(G26="","",G26*F26)</f>
        <v/>
      </c>
      <c r="I26" s="40" t="inlineStr">
        <is>
          <t>Sep 12 2026: CI audit gate; MediaPipe pinned; no lockfile surprises seen</t>
        </is>
      </c>
    </row>
    <row r="27" ht="30" customHeight="1" s="35">
      <c r="A27" s="39" t="n">
        <v>23</v>
      </c>
      <c r="B27" s="40" t="inlineStr">
        <is>
          <t>Cost efficiency</t>
        </is>
      </c>
      <c r="C27" s="40" t="inlineStr">
        <is>
          <t>Cloud/infra spend vs. usage, resource optimization</t>
        </is>
      </c>
      <c r="D27" s="47" t="inlineStr">
        <is>
          <t>Ops</t>
        </is>
      </c>
      <c r="E27" s="39" t="inlineStr">
        <is>
          <t>Milestone</t>
        </is>
      </c>
      <c r="F27" s="42" t="n">
        <v>1</v>
      </c>
      <c r="G27" s="43" t="n">
        <v>88</v>
      </c>
      <c r="H27" s="39">
        <f>IF(G27="","",G27*F27)</f>
        <v/>
      </c>
      <c r="I27" s="40" t="inlineStr">
        <is>
          <t>Sep 12 2026: Near-zero server cost; AI margins computed ($2.34 vs $14.99)</t>
        </is>
      </c>
    </row>
    <row r="28" ht="30" customHeight="1" s="35">
      <c r="A28" s="39" t="n">
        <v>24</v>
      </c>
      <c r="B28" s="40" t="inlineStr">
        <is>
          <t>Security/privacy</t>
        </is>
      </c>
      <c r="C28" s="40" t="inlineStr">
        <is>
          <t>Data protection, vulnerability management, encryption</t>
        </is>
      </c>
      <c r="D28" s="48" t="inlineStr">
        <is>
          <t>Security</t>
        </is>
      </c>
      <c r="E28" s="39" t="inlineStr">
        <is>
          <t>Core</t>
        </is>
      </c>
      <c r="F28" s="42" t="n">
        <v>3</v>
      </c>
      <c r="G28" s="43" t="n">
        <v>87</v>
      </c>
      <c r="H28" s="39">
        <f>IF(G28="","",G28*F28)</f>
        <v/>
      </c>
      <c r="I28" s="40" t="inlineStr">
        <is>
          <t>Sep 12 2026: Local-first arch; CSP hardened Sep 12; no ad trackers</t>
        </is>
      </c>
    </row>
    <row r="29" ht="30" customHeight="1" s="35">
      <c r="A29" s="39" t="n">
        <v>25</v>
      </c>
      <c r="B29" s="40" t="inlineStr">
        <is>
          <t>Authentication &amp; Authorization</t>
        </is>
      </c>
      <c r="C29" s="40" t="inlineStr">
        <is>
          <t>Login flow, session handling, role-based access control</t>
        </is>
      </c>
      <c r="D29" s="48" t="inlineStr">
        <is>
          <t>Security</t>
        </is>
      </c>
      <c r="E29" s="39" t="inlineStr">
        <is>
          <t>Core</t>
        </is>
      </c>
      <c r="F29" s="42" t="n">
        <v>2</v>
      </c>
      <c r="G29" s="43" t="n">
        <v>82</v>
      </c>
      <c r="H29" s="39">
        <f>IF(G29="","",G29*F29)</f>
        <v/>
      </c>
      <c r="I29" s="40" t="inlineStr">
        <is>
          <t>Sep 12 2026: better-auth Google+email; sessions; admin roles; login saga fixed</t>
        </is>
      </c>
    </row>
    <row r="30" ht="30" customHeight="1" s="35">
      <c r="A30" s="39" t="n">
        <v>26</v>
      </c>
      <c r="B30" s="40" t="inlineStr">
        <is>
          <t>Compliance &amp; legal</t>
        </is>
      </c>
      <c r="C30" s="40" t="inlineStr">
        <is>
          <t>GDPR/CCPA, ToS, cookie consent, regulatory adherence</t>
        </is>
      </c>
      <c r="D30" s="48" t="inlineStr">
        <is>
          <t>Security</t>
        </is>
      </c>
      <c r="E30" s="39" t="inlineStr">
        <is>
          <t>Milestone</t>
        </is>
      </c>
      <c r="F30" s="42" t="n">
        <v>2</v>
      </c>
      <c r="G30" s="43" t="n">
        <v>72</v>
      </c>
      <c r="H30" s="39">
        <f>IF(G30="","",G30*F30)</f>
        <v/>
      </c>
      <c r="I30" s="40" t="inlineStr">
        <is>
          <t>Sep 12 2026: Policy pages present; consent banner not verified</t>
        </is>
      </c>
    </row>
    <row r="31" ht="30" customHeight="1" s="35">
      <c r="A31" s="39" t="n">
        <v>27</v>
      </c>
      <c r="B31" s="40" t="inlineStr">
        <is>
          <t>Data management</t>
        </is>
      </c>
      <c r="C31" s="40" t="inlineStr">
        <is>
          <t>Schema design, migrations, backups, data integrity</t>
        </is>
      </c>
      <c r="D31" s="49" t="inlineStr">
        <is>
          <t>Data</t>
        </is>
      </c>
      <c r="E31" s="39" t="inlineStr">
        <is>
          <t>Core</t>
        </is>
      </c>
      <c r="F31" s="42" t="n">
        <v>2</v>
      </c>
      <c r="G31" s="43" t="n">
        <v>68</v>
      </c>
      <c r="H31" s="39">
        <f>IF(G31="","",G31*F31)</f>
        <v/>
      </c>
      <c r="I31" s="40" t="inlineStr">
        <is>
          <t>Sep 12 2026: D1 schema + lazy tables; no migration story, no backups seen</t>
        </is>
      </c>
    </row>
    <row r="32" ht="30" customHeight="1" s="35">
      <c r="A32" s="39" t="n">
        <v>28</v>
      </c>
      <c r="B32" s="40" t="inlineStr">
        <is>
          <t>API design &amp; integration quality</t>
        </is>
      </c>
      <c r="C32" s="40" t="inlineStr">
        <is>
          <t>REST/GraphQL conventions, third-party API resilience</t>
        </is>
      </c>
      <c r="D32" s="49" t="inlineStr">
        <is>
          <t>Data</t>
        </is>
      </c>
      <c r="E32" s="39" t="inlineStr">
        <is>
          <t>Core</t>
        </is>
      </c>
      <c r="F32" s="42" t="n">
        <v>2</v>
      </c>
      <c r="G32" s="43" t="n">
        <v>80</v>
      </c>
      <c r="H32" s="39">
        <f>IF(G32="","",G32*F32)</f>
        <v/>
      </c>
      <c r="I32" s="40" t="inlineStr">
        <is>
          <t>Sep 12 2026: Contract-tested REST; CDN/AI fallbacks everywhere</t>
        </is>
      </c>
    </row>
    <row r="33" ht="30" customHeight="1" s="35">
      <c r="A33" s="39" t="n">
        <v>29</v>
      </c>
      <c r="B33" s="40" t="inlineStr">
        <is>
          <t>Scalability</t>
        </is>
      </c>
      <c r="C33" s="40" t="inlineStr">
        <is>
          <t>Load handling, caching, DB indexing, horizontal scaling</t>
        </is>
      </c>
      <c r="D33" s="49" t="inlineStr">
        <is>
          <t>Data</t>
        </is>
      </c>
      <c r="E33" s="39" t="inlineStr">
        <is>
          <t>Milestone</t>
        </is>
      </c>
      <c r="F33" s="42" t="n">
        <v>2</v>
      </c>
      <c r="G33" s="43" t="n">
        <v>82</v>
      </c>
      <c r="H33" s="39">
        <f>IF(G33="","",G33*F33)</f>
        <v/>
      </c>
      <c r="I33" s="40" t="inlineStr">
        <is>
          <t>Sep 12 2026: Static edge scales; per-IP rate limits; D1 limits untested</t>
        </is>
      </c>
    </row>
    <row r="34" ht="30" customHeight="1" s="35">
      <c r="A34" s="39" t="n">
        <v>30</v>
      </c>
      <c r="B34" s="40" t="inlineStr">
        <is>
          <t>Internationalization (i18n) / Localization (l10n)</t>
        </is>
      </c>
      <c r="C34" s="40" t="inlineStr">
        <is>
          <t>Multi-language/region readiness</t>
        </is>
      </c>
      <c r="D34" s="50" t="inlineStr">
        <is>
          <t>Reach</t>
        </is>
      </c>
      <c r="E34" s="39" t="inlineStr">
        <is>
          <t>Milestone</t>
        </is>
      </c>
      <c r="F34" s="42" t="n">
        <v>1</v>
      </c>
      <c r="G34" s="43" t="n">
        <v>35</v>
      </c>
      <c r="H34" s="39">
        <f>IF(G34="","",G34*F34)</f>
        <v/>
      </c>
      <c r="I34" s="40" t="inlineStr">
        <is>
          <t>Sep 12 2026: English-only by footer admission</t>
        </is>
      </c>
    </row>
    <row r="35" ht="30" customHeight="1" s="35">
      <c r="A35" s="39" t="n">
        <v>31</v>
      </c>
      <c r="B35" s="40" t="inlineStr">
        <is>
          <t>Browser/device compatibility</t>
        </is>
      </c>
      <c r="C35" s="40" t="inlineStr">
        <is>
          <t>Cross-browser rendering/JS behavior consistency</t>
        </is>
      </c>
      <c r="D35" s="50" t="inlineStr">
        <is>
          <t>Reach</t>
        </is>
      </c>
      <c r="E35" s="39" t="inlineStr">
        <is>
          <t>Core</t>
        </is>
      </c>
      <c r="F35" s="42" t="n">
        <v>2</v>
      </c>
      <c r="G35" s="43" t="n">
        <v>75</v>
      </c>
      <c r="H35" s="39">
        <f>IF(G35="","",G35*F35)</f>
        <v/>
      </c>
      <c r="I35" s="40" t="inlineStr">
        <is>
          <t>Sep 12 2026: Modern browsers OK; SAB/FFmpeg env-sensitive</t>
        </is>
      </c>
    </row>
    <row r="36" ht="30" customHeight="1" s="35">
      <c r="A36" s="39" t="n">
        <v>32</v>
      </c>
      <c r="B36" s="40" t="inlineStr">
        <is>
          <t>Onboarding &amp; empty states</t>
        </is>
      </c>
      <c r="C36" s="40" t="inlineStr">
        <is>
          <t>First-run experience, tooltips, empty-state guidance</t>
        </is>
      </c>
      <c r="D36" s="44" t="inlineStr">
        <is>
          <t>Design</t>
        </is>
      </c>
      <c r="E36" s="39" t="inlineStr">
        <is>
          <t>Milestone</t>
        </is>
      </c>
      <c r="F36" s="42" t="n">
        <v>1</v>
      </c>
      <c r="G36" s="43" t="n">
        <v>70</v>
      </c>
      <c r="H36" s="39">
        <f>IF(G36="","",G36*F36)</f>
        <v/>
      </c>
      <c r="I36" s="40" t="inlineStr">
        <is>
          <t>Sep 12 2026: Tour per-account Sep 12; empty states guided, unverified</t>
        </is>
      </c>
    </row>
    <row r="37" ht="30" customHeight="1" s="35">
      <c r="A37" s="39" t="n">
        <v>33</v>
      </c>
      <c r="B37" s="40" t="inlineStr">
        <is>
          <t>Notifications &amp; re-engagement</t>
        </is>
      </c>
      <c r="C37" s="40" t="inlineStr">
        <is>
          <t>Email/push notification quality, retention triggers</t>
        </is>
      </c>
      <c r="D37" s="45" t="inlineStr">
        <is>
          <t>Growth</t>
        </is>
      </c>
      <c r="E37" s="39" t="inlineStr">
        <is>
          <t>Milestone</t>
        </is>
      </c>
      <c r="F37" s="42" t="n">
        <v>1</v>
      </c>
      <c r="G37" s="43" t="n">
        <v>25</v>
      </c>
      <c r="H37" s="39">
        <f>IF(G37="","",G37*F37)</f>
        <v/>
      </c>
      <c r="I37" s="40" t="inlineStr">
        <is>
          <t>PARKED Sep 15 2026 per owner: no newsletter planned; dead signup removed</t>
        </is>
      </c>
    </row>
    <row r="38" ht="30" customHeight="1" s="35">
      <c r="A38" s="39" t="n">
        <v>34</v>
      </c>
      <c r="B38" s="40" t="inlineStr">
        <is>
          <t>Analytics &amp; product metrics</t>
        </is>
      </c>
      <c r="C38" s="40" t="inlineStr">
        <is>
          <t>Event tracking, funnels, conversion measurement setup</t>
        </is>
      </c>
      <c r="D38" s="45" t="inlineStr">
        <is>
          <t>Growth</t>
        </is>
      </c>
      <c r="E38" s="39" t="inlineStr">
        <is>
          <t>Core</t>
        </is>
      </c>
      <c r="F38" s="42" t="n">
        <v>2</v>
      </c>
      <c r="G38" s="43" t="n">
        <v>72</v>
      </c>
      <c r="H38" s="39">
        <f>IF(G38="","",G38*F38)</f>
        <v/>
      </c>
      <c r="I38" s="40" t="inlineStr">
        <is>
          <t>Sep 12 2026: PostHog + new credit/download events; funnels basic</t>
        </is>
      </c>
    </row>
    <row r="39" ht="30" customHeight="1" s="35">
      <c r="A39" s="39" t="n">
        <v>35</v>
      </c>
      <c r="B39" s="40" t="inlineStr">
        <is>
          <t>Content moderation</t>
        </is>
      </c>
      <c r="C39" s="40" t="inlineStr">
        <is>
          <t>Handling user-submitted data (reviews, tool submissions, spam)</t>
        </is>
      </c>
      <c r="D39" s="41" t="inlineStr">
        <is>
          <t>Product-specific</t>
        </is>
      </c>
      <c r="E39" s="39" t="inlineStr">
        <is>
          <t>Milestone</t>
        </is>
      </c>
      <c r="F39" s="42" t="n">
        <v>2</v>
      </c>
      <c r="G39" s="43" t="n">
        <v>85</v>
      </c>
      <c r="H39" s="39">
        <f>IF(G39="","",G39*F39)</f>
        <v/>
      </c>
      <c r="I39" s="40" t="inlineStr">
        <is>
          <t>Sep 12 2026: No UGC surface — nothing to moderate</t>
        </is>
      </c>
    </row>
    <row r="40" ht="30" customHeight="1" s="35">
      <c r="A40" s="39" t="n">
        <v>36</v>
      </c>
      <c r="B40" s="40" t="inlineStr">
        <is>
          <t>Payment/billing infrastructure</t>
        </is>
      </c>
      <c r="C40" s="40" t="inlineStr">
        <is>
          <t>Subscription handling, invoicing, payment failure recovery</t>
        </is>
      </c>
      <c r="D40" s="47" t="inlineStr">
        <is>
          <t>Ops</t>
        </is>
      </c>
      <c r="E40" s="39" t="inlineStr">
        <is>
          <t>Milestone</t>
        </is>
      </c>
      <c r="F40" s="42" t="n">
        <v>1</v>
      </c>
      <c r="G40" s="43" t="n">
        <v>75</v>
      </c>
      <c r="H40" s="39">
        <f>IF(G40="","",G40*F40)</f>
        <v/>
      </c>
      <c r="I40" s="40" t="inlineStr">
        <is>
          <t>Sep 12 2026: Razorpay+Dodo + pass/monthly/yearly; failure recovery unknown</t>
        </is>
      </c>
    </row>
    <row r="41" ht="30" customHeight="1" s="35">
      <c r="A41" s="39" t="n">
        <v>37</v>
      </c>
      <c r="B41" s="40" t="inlineStr">
        <is>
          <t>Rate limiting &amp; abuse prevention</t>
        </is>
      </c>
      <c r="C41" s="40" t="inlineStr">
        <is>
          <t>API abuse protection, bot detection, scraping defense</t>
        </is>
      </c>
      <c r="D41" s="48" t="inlineStr">
        <is>
          <t>Security</t>
        </is>
      </c>
      <c r="E41" s="39" t="inlineStr">
        <is>
          <t>Milestone</t>
        </is>
      </c>
      <c r="F41" s="42" t="n">
        <v>2</v>
      </c>
      <c r="G41" s="43" t="n">
        <v>85</v>
      </c>
      <c r="H41" s="39">
        <f>IF(G41="","",G41*F41)</f>
        <v/>
      </c>
      <c r="I41" s="40" t="inlineStr">
        <is>
          <t>Sep 12 2026: Per-endpoint limits + Turnstile + fingerprint quotas</t>
        </is>
      </c>
    </row>
    <row r="42" ht="30" customHeight="1" s="35">
      <c r="A42" s="39" t="n">
        <v>38</v>
      </c>
      <c r="B42" s="40" t="inlineStr">
        <is>
          <t>Backup &amp; disaster recovery</t>
        </is>
      </c>
      <c r="C42" s="40" t="inlineStr">
        <is>
          <t>Data loss prevention, recovery time objectives</t>
        </is>
      </c>
      <c r="D42" s="49" t="inlineStr">
        <is>
          <t>Data</t>
        </is>
      </c>
      <c r="E42" s="39" t="inlineStr">
        <is>
          <t>Milestone</t>
        </is>
      </c>
      <c r="F42" s="42" t="n">
        <v>2</v>
      </c>
      <c r="G42" s="43" t="n">
        <v>50</v>
      </c>
      <c r="H42" s="39">
        <f>IF(G42="","",G42*F42)</f>
        <v/>
      </c>
      <c r="I42" s="40" t="inlineStr">
        <is>
          <t>Sep 12 2026: No backup/DR story found for D1</t>
        </is>
      </c>
    </row>
    <row r="43" ht="30" customHeight="1" s="35">
      <c r="A43" s="39" t="n">
        <v>39</v>
      </c>
      <c r="B43" s="40" t="inlineStr">
        <is>
          <t>Third-party vendor risk</t>
        </is>
      </c>
      <c r="C43" s="40" t="inlineStr">
        <is>
          <t>Reliance on external APIs/services and their SLAs</t>
        </is>
      </c>
      <c r="D43" s="49" t="inlineStr">
        <is>
          <t>Data</t>
        </is>
      </c>
      <c r="E43" s="39" t="inlineStr">
        <is>
          <t>Milestone</t>
        </is>
      </c>
      <c r="F43" s="42" t="n">
        <v>1</v>
      </c>
      <c r="G43" s="43" t="n">
        <v>65</v>
      </c>
      <c r="H43" s="39">
        <f>IF(G43="","",G43*F43)</f>
        <v/>
      </c>
      <c r="I43" s="40" t="inlineStr">
        <is>
          <t>Sep 12 2026: Pollinations no-SLA; Gemini retires Oct 2 2026 - migrate!</t>
        </is>
      </c>
    </row>
    <row r="44" ht="30" customHeight="1" s="35">
      <c r="A44" s="39" t="n">
        <v>40</v>
      </c>
      <c r="B44" s="40" t="inlineStr">
        <is>
          <t>Team/collaboration workflow</t>
        </is>
      </c>
      <c r="C44" s="40" t="inlineStr">
        <is>
          <t>Multi-user roles if app supports teams (not just individual auth)</t>
        </is>
      </c>
      <c r="D44" s="41" t="inlineStr">
        <is>
          <t>Product-specific</t>
        </is>
      </c>
      <c r="E44" s="39" t="inlineStr">
        <is>
          <t>Milestone</t>
        </is>
      </c>
      <c r="F44" s="42" t="n">
        <v>1</v>
      </c>
      <c r="G44" s="43" t="n">
        <v>40</v>
      </c>
      <c r="H44" s="39">
        <f>IF(G44="","",G44*F44)</f>
        <v/>
      </c>
      <c r="I44" s="40" t="inlineStr">
        <is>
          <t>Sep 12 2026: Single-user only; Team plan coming</t>
        </is>
      </c>
    </row>
    <row r="45" ht="30" customHeight="1" s="35">
      <c r="A45" s="39" t="n">
        <v>41</v>
      </c>
      <c r="B45" s="40" t="inlineStr">
        <is>
          <t>Feature flagging</t>
        </is>
      </c>
      <c r="C45" s="40" t="inlineStr">
        <is>
          <t>Ability to roll out/test features incrementally</t>
        </is>
      </c>
      <c r="D45" s="46" t="inlineStr">
        <is>
          <t>Engineering</t>
        </is>
      </c>
      <c r="E45" s="39" t="inlineStr">
        <is>
          <t>Milestone</t>
        </is>
      </c>
      <c r="F45" s="42" t="n">
        <v>1</v>
      </c>
      <c r="G45" s="43" t="n">
        <v>45</v>
      </c>
      <c r="H45" s="39">
        <f>IF(G45="","",G45*F45)</f>
        <v/>
      </c>
      <c r="I45" s="40" t="inlineStr">
        <is>
          <t>Sep 12 2026: Only ad-hoc const flags (GEMINI_ENGINE_LIVE)</t>
        </is>
      </c>
    </row>
    <row r="46" ht="30" customHeight="1" s="35">
      <c r="A46" s="39" t="n">
        <v>42</v>
      </c>
      <c r="B46" s="40" t="inlineStr">
        <is>
          <t>Load/stress testing</t>
        </is>
      </c>
      <c r="C46" s="40" t="inlineStr">
        <is>
          <t>Behavior under traffic spikes, not just functional testing</t>
        </is>
      </c>
      <c r="D46" s="46" t="inlineStr">
        <is>
          <t>Engineering</t>
        </is>
      </c>
      <c r="E46" s="39" t="inlineStr">
        <is>
          <t>Milestone</t>
        </is>
      </c>
      <c r="F46" s="42" t="n">
        <v>1</v>
      </c>
      <c r="G46" s="43" t="n">
        <v>40</v>
      </c>
      <c r="H46" s="39">
        <f>IF(G46="","",G46*F46)</f>
        <v/>
      </c>
      <c r="I46" s="40" t="inlineStr">
        <is>
          <t>Sep 12 2026: No load/stress testing seen</t>
        </is>
      </c>
    </row>
    <row r="47" ht="30" customHeight="1" s="35">
      <c r="A47" s="39" t="n">
        <v>43</v>
      </c>
      <c r="B47" s="40" t="inlineStr">
        <is>
          <t>Brand consistency across touchpoints</t>
        </is>
      </c>
      <c r="C47" s="40" t="inlineStr">
        <is>
          <t>Emails, social, docs, app UI — same voice/visual system</t>
        </is>
      </c>
      <c r="D47" s="44" t="inlineStr">
        <is>
          <t>Design</t>
        </is>
      </c>
      <c r="E47" s="39" t="inlineStr">
        <is>
          <t>Milestone</t>
        </is>
      </c>
      <c r="F47" s="42" t="n">
        <v>1</v>
      </c>
      <c r="G47" s="43" t="n">
        <v>80</v>
      </c>
      <c r="H47" s="39">
        <f>IF(G47="","",G47*F47)</f>
        <v/>
      </c>
      <c r="I47" s="40" t="inlineStr">
        <is>
          <t>Sep 12 2026: Consistent honest voice push Sep 12</t>
        </is>
      </c>
    </row>
    <row r="48" ht="30" customHeight="1" s="35">
      <c r="A48" s="39" t="n">
        <v>44</v>
      </c>
      <c r="B48" s="40" t="inlineStr">
        <is>
          <t>Legal pages completeness</t>
        </is>
      </c>
      <c r="C48" s="40" t="inlineStr">
        <is>
          <t>Privacy policy, ToS, cookie policy actually present and accurate</t>
        </is>
      </c>
      <c r="D48" s="48" t="inlineStr">
        <is>
          <t>Security</t>
        </is>
      </c>
      <c r="E48" s="39" t="inlineStr">
        <is>
          <t>Milestone</t>
        </is>
      </c>
      <c r="F48" s="42" t="n">
        <v>1</v>
      </c>
      <c r="G48" s="43" t="n">
        <v>96</v>
      </c>
      <c r="H48" s="39">
        <f>IF(G48="","",G48*F48)</f>
        <v/>
      </c>
      <c r="I48" s="40" t="inlineStr">
        <is>
          <t>Sep 16 2026: accuracy pass vs live code (dca5e782) — AI-proxy truth, telemetry disclosed, Decline enforced, Terms dated, Disclaimer re-scoped</t>
        </is>
      </c>
    </row>
    <row r="49" ht="30" customHeight="1" s="35">
      <c r="A49" s="39" t="n">
        <v>45</v>
      </c>
      <c r="B49" s="40" t="inlineStr">
        <is>
          <t>Offline/degraded-network handling</t>
        </is>
      </c>
      <c r="C49" s="40" t="inlineStr">
        <is>
          <t>App behavior on poor connectivity, not just PWA offline mode</t>
        </is>
      </c>
      <c r="D49" s="46" t="inlineStr">
        <is>
          <t>Engineering</t>
        </is>
      </c>
      <c r="E49" s="39" t="inlineStr">
        <is>
          <t>Milestone</t>
        </is>
      </c>
      <c r="F49" s="42" t="n">
        <v>1</v>
      </c>
      <c r="G49" s="43" t="n">
        <v>65</v>
      </c>
      <c r="H49" s="39">
        <f>IF(G49="","",G49*F49)</f>
        <v/>
      </c>
      <c r="I49" s="40" t="inlineStr">
        <is>
          <t>Sep 12 2026: SW caches shell; CDN-first loads fragile offline</t>
        </is>
      </c>
    </row>
    <row r="50" ht="30" customHeight="1" s="35">
      <c r="A50" s="39" t="n">
        <v>46</v>
      </c>
      <c r="B50" s="40" t="inlineStr">
        <is>
          <t>Platform/OS-level compliance</t>
        </is>
      </c>
      <c r="C50" s="40" t="inlineStr">
        <is>
          <t>App Store/Play Store/Windows certification, platform policy adherence</t>
        </is>
      </c>
      <c r="D50" s="47" t="inlineStr">
        <is>
          <t>Ops</t>
        </is>
      </c>
      <c r="E50" s="39" t="inlineStr">
        <is>
          <t>Milestone</t>
        </is>
      </c>
      <c r="F50" s="42" t="n">
        <v>1</v>
      </c>
      <c r="G50" s="43" t="n">
        <v>55</v>
      </c>
      <c r="H50" s="39">
        <f>IF(G50="","",G50*F50)</f>
        <v/>
      </c>
      <c r="I50" s="40" t="inlineStr">
        <is>
          <t>Sep 12 2026: Capacitor build exists; store submission unknown</t>
        </is>
      </c>
    </row>
    <row r="51" ht="30" customHeight="1" s="35">
      <c r="A51" s="39" t="n">
        <v>47</v>
      </c>
      <c r="B51" s="40" t="inlineStr">
        <is>
          <t>Energy/battery efficiency</t>
        </is>
      </c>
      <c r="C51" s="40" t="inlineStr">
        <is>
          <t>Power/resource consumption on mobile &amp; low-power devices</t>
        </is>
      </c>
      <c r="D51" s="51" t="inlineStr">
        <is>
          <t>Performance</t>
        </is>
      </c>
      <c r="E51" s="39" t="inlineStr">
        <is>
          <t>Milestone</t>
        </is>
      </c>
      <c r="F51" s="42" t="n">
        <v>1</v>
      </c>
      <c r="G51" s="43" t="n">
        <v>65</v>
      </c>
      <c r="H51" s="39">
        <f>IF(G51="","",G51*F51)</f>
        <v/>
      </c>
      <c r="I51" s="40" t="inlineStr">
        <is>
          <t>Sep 12 2026: Low-end detection + sequential defaults; WASM is heavy</t>
        </is>
      </c>
    </row>
    <row r="52" ht="30" customHeight="1" s="35">
      <c r="A52" s="39" t="n">
        <v>48</v>
      </c>
      <c r="B52" s="40" t="inlineStr">
        <is>
          <t>Localization at true scale</t>
        </is>
      </c>
      <c r="C52" s="40" t="inlineStr">
        <is>
          <t>Cultural/legal nuance per region, not just language translation</t>
        </is>
      </c>
      <c r="D52" s="50" t="inlineStr">
        <is>
          <t>Reach</t>
        </is>
      </c>
      <c r="E52" s="39" t="inlineStr">
        <is>
          <t>Milestone</t>
        </is>
      </c>
      <c r="F52" s="42" t="n">
        <v>1</v>
      </c>
      <c r="G52" s="43" t="n">
        <v>30</v>
      </c>
      <c r="H52" s="39">
        <f>IF(G52="","",G52*F52)</f>
        <v/>
      </c>
      <c r="I52" s="40" t="inlineStr">
        <is>
          <t>Sep 12 2026: English-only; no regional nuance</t>
        </is>
      </c>
    </row>
    <row r="53" ht="30" customHeight="1" s="35">
      <c r="A53" s="39" t="n">
        <v>49</v>
      </c>
      <c r="B53" s="40" t="inlineStr">
        <is>
          <t>Post-launch kill-switch/rollback infrastructure</t>
        </is>
      </c>
      <c r="C53" s="40" t="inlineStr">
        <is>
          <t>Ability to disable a broken feature instantly without a full redeploy</t>
        </is>
      </c>
      <c r="D53" s="47" t="inlineStr">
        <is>
          <t>Ops</t>
        </is>
      </c>
      <c r="E53" s="39" t="inlineStr">
        <is>
          <t>Milestone</t>
        </is>
      </c>
      <c r="F53" s="42" t="n">
        <v>1</v>
      </c>
      <c r="G53" s="43" t="n">
        <v>50</v>
      </c>
      <c r="H53" s="39">
        <f>IF(G53="","",G53*F53)</f>
        <v/>
      </c>
      <c r="I53" s="40" t="inlineStr">
        <is>
          <t>Sep 12 2026: No kill-switch; rollback = 15-min rebuild</t>
        </is>
      </c>
    </row>
    <row r="54" ht="30" customHeight="1" s="35">
      <c r="A54" s="39" t="n">
        <v>50</v>
      </c>
      <c r="B54" s="40" t="inlineStr">
        <is>
          <t>Experimentation/A-B testing infrastructure</t>
        </is>
      </c>
      <c r="C54" s="40" t="inlineStr">
        <is>
          <t>Ability to run controlled feature/UX tests and measure impact</t>
        </is>
      </c>
      <c r="D54" s="45" t="inlineStr">
        <is>
          <t>Growth</t>
        </is>
      </c>
      <c r="E54" s="39" t="inlineStr">
        <is>
          <t>Milestone</t>
        </is>
      </c>
      <c r="F54" s="42" t="n">
        <v>1</v>
      </c>
      <c r="G54" s="43" t="n">
        <v>20</v>
      </c>
      <c r="H54" s="39">
        <f>IF(G54="","",G54*F54)</f>
        <v/>
      </c>
      <c r="I54" s="40" t="inlineStr">
        <is>
          <t>Sep 12 2026: No experimentation infra</t>
        </is>
      </c>
    </row>
    <row r="55" ht="30" customHeight="1" s="35">
      <c r="A55" s="39" t="n">
        <v>51</v>
      </c>
      <c r="B55" s="40" t="inlineStr">
        <is>
          <t>Privacy-by-design review process</t>
        </is>
      </c>
      <c r="C55" s="40" t="inlineStr">
        <is>
          <t>Formal privacy impact assessment before features ship, not after</t>
        </is>
      </c>
      <c r="D55" s="48" t="inlineStr">
        <is>
          <t>Security</t>
        </is>
      </c>
      <c r="E55" s="39" t="inlineStr">
        <is>
          <t>Milestone</t>
        </is>
      </c>
      <c r="F55" s="42" t="n">
        <v>1</v>
      </c>
      <c r="G55" s="43" t="n">
        <v>55</v>
      </c>
      <c r="H55" s="39">
        <f>IF(G55="","",G55*F55)</f>
        <v/>
      </c>
      <c r="I55" s="40" t="inlineStr">
        <is>
          <t>Sep 12 2026: Ad-hoc reviews live, no formal process</t>
        </is>
      </c>
    </row>
    <row r="57" ht="15" customHeight="1" s="35">
      <c r="A57" s="52" t="n"/>
      <c r="B57" s="53" t="inlineStr">
        <is>
          <t>TOTALS / COMPOSITE SCORE</t>
        </is>
      </c>
      <c r="C57" s="52" t="n"/>
      <c r="D57" s="52" t="n"/>
      <c r="E57" s="52" t="n"/>
      <c r="F57" s="54">
        <f>SUM(F5:F55)</f>
        <v/>
      </c>
      <c r="G57" s="52" t="n"/>
      <c r="H57" s="54">
        <f>SUMPRODUCT((G5:G55&lt;&gt;"")*F5:F55*IF(G5:G55="",0,G5:G55))</f>
        <v/>
      </c>
      <c r="I57" s="52" t="n"/>
    </row>
    <row r="58" ht="15" customHeight="1" s="35">
      <c r="A58" s="52" t="n"/>
      <c r="B58" s="52" t="n"/>
      <c r="C58" s="52" t="n"/>
      <c r="D58" s="52" t="n"/>
      <c r="E58" s="52" t="n"/>
      <c r="F58" s="52" t="n"/>
      <c r="G58" s="55" t="inlineStr">
        <is>
          <t>Weighted sum of scored rows:</t>
        </is>
      </c>
      <c r="H58" s="52">
        <f>SUMPRODUCT((G5:G55&lt;&gt;"")*F5:F55)</f>
        <v/>
      </c>
      <c r="I58" s="52" t="n"/>
    </row>
    <row r="59" ht="15" customHeight="1" s="35">
      <c r="A59" s="52" t="n"/>
      <c r="B59" s="52" t="n"/>
      <c r="C59" s="52" t="n"/>
      <c r="D59" s="52" t="n"/>
      <c r="E59" s="52" t="n"/>
      <c r="F59" s="52" t="n"/>
      <c r="G59" s="53" t="inlineStr">
        <is>
          <t>Composite Score (0-100):</t>
        </is>
      </c>
      <c r="H59" s="56">
        <f>IF(H58=0,"—",ROUND(H57/H58,1))</f>
        <v/>
      </c>
      <c r="I59" s="52" t="n"/>
    </row>
  </sheetData>
  <mergeCells count="2">
    <mergeCell ref="A1:I1"/>
    <mergeCell ref="A2:I2"/>
  </mergeCells>
  <dataValidations count="3">
    <dataValidation sqref="G5:G55" showDropDown="0" showInputMessage="0" showErrorMessage="1" allowBlank="0" errorTitle="Invalid score" error="Enter a whole number 0-100" type="whole" errorStyle="stop" operator="between">
      <formula1>0</formula1>
      <formula2>100</formula2>
    </dataValidation>
    <dataValidation sqref="F5:F55" showDropDown="0" showInputMessage="0" showErrorMessage="1" allowBlank="0" errorTitle="Invalid weight" error="Enter a whole number 1-5" type="whole" errorStyle="stop" operator="between">
      <formula1>1</formula1>
      <formula2>5</formula2>
    </dataValidation>
    <dataValidation sqref="E5:E55" showDropDown="0" showInputMessage="0" showErrorMessage="1" allowBlank="0" type="list" errorStyle="stop" operator="between">
      <formula1>"Core,Milestone"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34" min="1" max="1"/>
    <col width="18" customWidth="1" style="34" min="2" max="4"/>
  </cols>
  <sheetData>
    <row r="1" ht="19.7" customHeight="1" s="35">
      <c r="A1" s="36" t="inlineStr">
        <is>
          <t>Composite Score by Type</t>
        </is>
      </c>
    </row>
    <row r="3" ht="23.85" customHeight="1" s="35">
      <c r="A3" s="38" t="inlineStr">
        <is>
          <t>Type</t>
        </is>
      </c>
      <c r="B3" s="38" t="inlineStr">
        <is>
          <t>Weighted Score Sum</t>
        </is>
      </c>
      <c r="C3" s="38" t="inlineStr">
        <is>
          <t>Weight Sum</t>
        </is>
      </c>
      <c r="D3" s="38" t="inlineStr">
        <is>
          <t>Avg Score (0-100)</t>
        </is>
      </c>
    </row>
    <row r="4" ht="15" customHeight="1" s="35">
      <c r="A4" s="57" t="inlineStr">
        <is>
          <t>Product-specific</t>
        </is>
      </c>
      <c r="B4" s="58">
        <f>SUMPRODUCT((Scorecard!$D$5:$D$55=A4)*(Scorecard!$G$5:$G$55&lt;&gt;"")*Scorecard!$F$5:$F$55*IF(Scorecard!$G$5:$G$55="",0,Scorecard!$G$5:$G$55))</f>
        <v/>
      </c>
      <c r="C4" s="58">
        <f>SUMPRODUCT((Scorecard!$D$5:$D$55=A4)*(Scorecard!$G$5:$G$55&lt;&gt;"")*Scorecard!$F$5:$F$55)</f>
        <v/>
      </c>
      <c r="D4" s="58">
        <f>IF(C4=0,"—",ROUND(B4/C4,1))</f>
        <v/>
      </c>
    </row>
    <row r="5" ht="15" customHeight="1" s="35">
      <c r="A5" s="59" t="inlineStr">
        <is>
          <t>Design</t>
        </is>
      </c>
      <c r="B5" s="58">
        <f>SUMPRODUCT((Scorecard!$D$5:$D$55=A5)*(Scorecard!$G$5:$G$55&lt;&gt;"")*Scorecard!$F$5:$F$55*IF(Scorecard!$G$5:$G$55="",0,Scorecard!$G$5:$G$55))</f>
        <v/>
      </c>
      <c r="C5" s="58">
        <f>SUMPRODUCT((Scorecard!$D$5:$D$55=A5)*(Scorecard!$G$5:$G$55&lt;&gt;"")*Scorecard!$F$5:$F$55)</f>
        <v/>
      </c>
      <c r="D5" s="58">
        <f>IF(C5=0,"—",ROUND(B5/C5,1))</f>
        <v/>
      </c>
    </row>
    <row r="6" ht="15" customHeight="1" s="35">
      <c r="A6" s="60" t="inlineStr">
        <is>
          <t>Growth</t>
        </is>
      </c>
      <c r="B6" s="58">
        <f>SUMPRODUCT((Scorecard!$D$5:$D$55=A6)*(Scorecard!$G$5:$G$55&lt;&gt;"")*Scorecard!$F$5:$F$55*IF(Scorecard!$G$5:$G$55="",0,Scorecard!$G$5:$G$55))</f>
        <v/>
      </c>
      <c r="C6" s="58">
        <f>SUMPRODUCT((Scorecard!$D$5:$D$55=A6)*(Scorecard!$G$5:$G$55&lt;&gt;"")*Scorecard!$F$5:$F$55)</f>
        <v/>
      </c>
      <c r="D6" s="58">
        <f>IF(C6=0,"—",ROUND(B6/C6,1))</f>
        <v/>
      </c>
    </row>
    <row r="7" ht="15" customHeight="1" s="35">
      <c r="A7" s="61" t="inlineStr">
        <is>
          <t>Engineering</t>
        </is>
      </c>
      <c r="B7" s="58">
        <f>SUMPRODUCT((Scorecard!$D$5:$D$55=A7)*(Scorecard!$G$5:$G$55&lt;&gt;"")*Scorecard!$F$5:$F$55*IF(Scorecard!$G$5:$G$55="",0,Scorecard!$G$5:$G$55))</f>
        <v/>
      </c>
      <c r="C7" s="58">
        <f>SUMPRODUCT((Scorecard!$D$5:$D$55=A7)*(Scorecard!$G$5:$G$55&lt;&gt;"")*Scorecard!$F$5:$F$55)</f>
        <v/>
      </c>
      <c r="D7" s="58">
        <f>IF(C7=0,"—",ROUND(B7/C7,1))</f>
        <v/>
      </c>
    </row>
    <row r="8" ht="15" customHeight="1" s="35">
      <c r="A8" s="62" t="inlineStr">
        <is>
          <t>Ops</t>
        </is>
      </c>
      <c r="B8" s="58">
        <f>SUMPRODUCT((Scorecard!$D$5:$D$55=A8)*(Scorecard!$G$5:$G$55&lt;&gt;"")*Scorecard!$F$5:$F$55*IF(Scorecard!$G$5:$G$55="",0,Scorecard!$G$5:$G$55))</f>
        <v/>
      </c>
      <c r="C8" s="58">
        <f>SUMPRODUCT((Scorecard!$D$5:$D$55=A8)*(Scorecard!$G$5:$G$55&lt;&gt;"")*Scorecard!$F$5:$F$55)</f>
        <v/>
      </c>
      <c r="D8" s="58">
        <f>IF(C8=0,"—",ROUND(B8/C8,1))</f>
        <v/>
      </c>
    </row>
    <row r="9" ht="15" customHeight="1" s="35">
      <c r="A9" s="63" t="inlineStr">
        <is>
          <t>Security</t>
        </is>
      </c>
      <c r="B9" s="58">
        <f>SUMPRODUCT((Scorecard!$D$5:$D$55=A9)*(Scorecard!$G$5:$G$55&lt;&gt;"")*Scorecard!$F$5:$F$55*IF(Scorecard!$G$5:$G$55="",0,Scorecard!$G$5:$G$55))</f>
        <v/>
      </c>
      <c r="C9" s="58">
        <f>SUMPRODUCT((Scorecard!$D$5:$D$55=A9)*(Scorecard!$G$5:$G$55&lt;&gt;"")*Scorecard!$F$5:$F$55)</f>
        <v/>
      </c>
      <c r="D9" s="58">
        <f>IF(C9=0,"—",ROUND(B9/C9,1))</f>
        <v/>
      </c>
    </row>
    <row r="10" ht="15" customHeight="1" s="35">
      <c r="A10" s="64" t="inlineStr">
        <is>
          <t>Data</t>
        </is>
      </c>
      <c r="B10" s="58">
        <f>SUMPRODUCT((Scorecard!$D$5:$D$55=A10)*(Scorecard!$G$5:$G$55&lt;&gt;"")*Scorecard!$F$5:$F$55*IF(Scorecard!$G$5:$G$55="",0,Scorecard!$G$5:$G$55))</f>
        <v/>
      </c>
      <c r="C10" s="58">
        <f>SUMPRODUCT((Scorecard!$D$5:$D$55=A10)*(Scorecard!$G$5:$G$55&lt;&gt;"")*Scorecard!$F$5:$F$55)</f>
        <v/>
      </c>
      <c r="D10" s="58">
        <f>IF(C10=0,"—",ROUND(B10/C10,1))</f>
        <v/>
      </c>
    </row>
    <row r="11" ht="15" customHeight="1" s="35">
      <c r="A11" s="65" t="inlineStr">
        <is>
          <t>Reach</t>
        </is>
      </c>
      <c r="B11" s="58">
        <f>SUMPRODUCT((Scorecard!$D$5:$D$55=A11)*(Scorecard!$G$5:$G$55&lt;&gt;"")*Scorecard!$F$5:$F$55*IF(Scorecard!$G$5:$G$55="",0,Scorecard!$G$5:$G$55))</f>
        <v/>
      </c>
      <c r="C11" s="58">
        <f>SUMPRODUCT((Scorecard!$D$5:$D$55=A11)*(Scorecard!$G$5:$G$55&lt;&gt;"")*Scorecard!$F$5:$F$55)</f>
        <v/>
      </c>
      <c r="D11" s="58">
        <f>IF(C11=0,"—",ROUND(B11/C11,1))</f>
        <v/>
      </c>
    </row>
    <row r="12" ht="15" customHeight="1" s="35">
      <c r="A12" s="66" t="inlineStr">
        <is>
          <t>Performance</t>
        </is>
      </c>
      <c r="B12" s="58">
        <f>SUMPRODUCT((Scorecard!$D$5:$D$55=A12)*(Scorecard!$G$5:$G$55&lt;&gt;"")*Scorecard!$F$5:$F$55*IF(Scorecard!$G$5:$G$55="",0,Scorecard!$G$5:$G$55))</f>
        <v/>
      </c>
      <c r="C12" s="58">
        <f>SUMPRODUCT((Scorecard!$D$5:$D$55=A12)*(Scorecard!$G$5:$G$55&lt;&gt;"")*Scorecard!$F$5:$F$55)</f>
        <v/>
      </c>
      <c r="D12" s="58">
        <f>IF(C12=0,"—",ROUND(B12/C12,1))</f>
        <v/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34" min="1" max="1"/>
    <col width="80" customWidth="1" style="34" min="2" max="2"/>
  </cols>
  <sheetData>
    <row r="1" ht="19.7" customHeight="1" s="35">
      <c r="A1" s="36" t="inlineStr">
        <is>
          <t>How to Use This Scorecard</t>
        </is>
      </c>
    </row>
    <row r="3" ht="45" customHeight="1" s="35">
      <c r="A3" s="67" t="inlineStr">
        <is>
          <t>1. Score each category</t>
        </is>
      </c>
      <c r="B3" s="68" t="inlineStr">
        <is>
          <t>Go to the 'Scorecard' tab. For every row, enter a score from 0-100 in the yellow 'Score' column based on your app's current state.</t>
        </is>
      </c>
    </row>
    <row r="5" ht="45" customHeight="1" s="35">
      <c r="A5" s="67" t="inlineStr">
        <is>
          <t>2. Adjust weights (optional)</t>
        </is>
      </c>
      <c r="B5" s="68" t="inlineStr">
        <is>
          <t>The 'Weight' column (1-3) reflects relative importance. Product-specific and Security items default higher. Change these if your priorities differ.</t>
        </is>
      </c>
    </row>
    <row r="7" ht="45" customHeight="1" s="35">
      <c r="A7" s="67" t="inlineStr">
        <is>
          <t>3. Read the composite score</t>
        </is>
      </c>
      <c r="B7" s="68" t="inlineStr">
        <is>
          <t>At the bottom of the Scorecard tab, the Composite Score auto-calculates as a weighted average (0-100) across every row you've scored. Unscored rows are excluded automatically.</t>
        </is>
      </c>
    </row>
    <row r="9" ht="45" customHeight="1" s="35">
      <c r="A9" s="67" t="inlineStr">
        <is>
          <t>4. Check the Summary by Type tab</t>
        </is>
      </c>
      <c r="B9" s="68" t="inlineStr">
        <is>
          <t>Breaks your composite score down by category type (Design, Engineering, Security, etc.) so you can see your strongest and weakest areas at a glance.</t>
        </is>
      </c>
    </row>
    <row r="11" ht="45" customHeight="1" s="35">
      <c r="A11" s="67" t="inlineStr">
        <is>
          <t>5. Core vs Milestone cadence</t>
        </is>
      </c>
      <c r="B11" s="68" t="inlineStr">
        <is>
          <t>Rows tagged 'Core' (~20 rows) are meant to be re-scored every audit cycle (e.g. monthly/bi-weekly). Rows tagged 'Milestone' (~31 rows) are meant to be revisited quarterly or at major releases — re-scoring all 51 every cycle causes audit fatigue.</t>
        </is>
      </c>
    </row>
    <row r="13" ht="45" customHeight="1" s="35">
      <c r="A13" s="67" t="inlineStr">
        <is>
          <t>6. Track change over time</t>
        </is>
      </c>
      <c r="B13" s="68" t="inlineStr">
        <is>
          <t>Use the 'Notes / Last Change' column to log deltas each cycle, e.g. 'improved +5, added caching' or 'unchanged since Sep audit' — the same way you tracked Tool Breadth and Depth.</t>
        </is>
      </c>
    </row>
    <row r="15" ht="45" customHeight="1" s="35">
      <c r="A15" s="67" t="inlineStr">
        <is>
          <t>7. Reuse this file</t>
        </is>
      </c>
      <c r="B15" s="68" t="inlineStr">
        <is>
          <t>Duplicate this workbook each audit cycle (e.g. 'Scorecard_2026-09.xlsx', 'Scorecard_2026-12.xlsx') so you can compare composite scores across time.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2026-09-10T05:56:54Z</dcterms:created>
  <dcterms:modified xsi:type="dcterms:W3CDTF">2026-09-16T07:39:18Z</dcterms:modified>
  <cp:revision>0</cp:revision>
</cp:coreProperties>
</file>